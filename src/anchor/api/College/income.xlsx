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lar/Desktop/College/"/>
    </mc:Choice>
  </mc:AlternateContent>
  <xr:revisionPtr revIDLastSave="0" documentId="13_ncr:1_{8CB8463C-402E-A24E-87CB-978F93E5FCD4}" xr6:coauthVersionLast="47" xr6:coauthVersionMax="47" xr10:uidLastSave="{00000000-0000-0000-0000-000000000000}"/>
  <bookViews>
    <workbookView xWindow="220" yWindow="500" windowWidth="17700" windowHeight="16280" xr2:uid="{AEDB55AB-01BA-9040-82BB-62206A90EC8F}"/>
  </bookViews>
  <sheets>
    <sheet name="expenses" sheetId="1" r:id="rId1"/>
    <sheet name="Scholarship" sheetId="3" r:id="rId2"/>
    <sheet name="income trac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 s="1"/>
  <c r="D3" i="3"/>
  <c r="D4" i="3"/>
  <c r="D5" i="3"/>
  <c r="A15" i="1"/>
  <c r="I15" i="1" s="1"/>
  <c r="I6" i="1"/>
  <c r="C13" i="1"/>
  <c r="C14" i="1"/>
  <c r="I14" i="1" s="1"/>
  <c r="A13" i="1"/>
  <c r="I13" i="1" s="1"/>
  <c r="C12" i="1"/>
  <c r="I17" i="1"/>
  <c r="I18" i="1"/>
  <c r="I19" i="1"/>
  <c r="A12" i="1"/>
  <c r="I12" i="1" s="1"/>
  <c r="F10" i="1"/>
  <c r="A11" i="1"/>
  <c r="I11" i="1" s="1"/>
  <c r="A9" i="1"/>
  <c r="I9" i="1" s="1"/>
  <c r="A8" i="1"/>
  <c r="I8" i="1" s="1"/>
  <c r="A7" i="1"/>
  <c r="I7" i="1" s="1"/>
</calcChain>
</file>

<file path=xl/sharedStrings.xml><?xml version="1.0" encoding="utf-8"?>
<sst xmlns="http://schemas.openxmlformats.org/spreadsheetml/2006/main" count="34" uniqueCount="34">
  <si>
    <t>month</t>
  </si>
  <si>
    <t>Rent</t>
  </si>
  <si>
    <t>income</t>
  </si>
  <si>
    <t>General Expenses</t>
  </si>
  <si>
    <t>Net income</t>
  </si>
  <si>
    <t>Comments</t>
  </si>
  <si>
    <t>Boba $117 included</t>
  </si>
  <si>
    <t xml:space="preserve"> tips $62</t>
  </si>
  <si>
    <t>untill JUL11</t>
  </si>
  <si>
    <t>cash tips $83, chase $200</t>
  </si>
  <si>
    <t>Insurance</t>
  </si>
  <si>
    <t>Donation</t>
  </si>
  <si>
    <t>Car repair</t>
  </si>
  <si>
    <t>Bought Car</t>
  </si>
  <si>
    <t>497.42 (discover), 320.62(chase debit), 450,18 (chase credit)</t>
  </si>
  <si>
    <t>73.76 (chase credit), 350.29(discover)</t>
  </si>
  <si>
    <t>Date</t>
  </si>
  <si>
    <t>Income</t>
  </si>
  <si>
    <t xml:space="preserve"> </t>
  </si>
  <si>
    <t>144.52(chase debit up to feb18)</t>
  </si>
  <si>
    <t>76.5(chase debit), 265.22(chase credit), 40.05 (discover)</t>
  </si>
  <si>
    <t>Scholarship</t>
  </si>
  <si>
    <t>ARRWHD</t>
  </si>
  <si>
    <t>CALGRTB</t>
  </si>
  <si>
    <t>Pell</t>
  </si>
  <si>
    <t>Amount</t>
  </si>
  <si>
    <t>BOGG fee waiver</t>
  </si>
  <si>
    <t>Expenses</t>
  </si>
  <si>
    <t>Net total</t>
  </si>
  <si>
    <t>Note</t>
  </si>
  <si>
    <t>2/30/24</t>
  </si>
  <si>
    <t>Travel</t>
  </si>
  <si>
    <t>$1440 added in general exp for USCIS</t>
  </si>
  <si>
    <t>$23,851 before stipend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</si>
</sst>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DF5E-676E-B540-8589-630D3C35FE2C}">
  <dimension ref="A1:K22"/>
  <sheetViews>
    <sheetView tabSelected="1" zoomScale="131" workbookViewId="0">
      <selection activeCell="J24" sqref="J24"/>
    </sheetView>
  </sheetViews>
  <sheetFormatPr baseColWidth="10" defaultRowHeight="16" x14ac:dyDescent="0.2"/>
  <sheetData>
    <row r="1" spans="1:11" x14ac:dyDescent="0.2">
      <c r="A1" t="s">
        <v>2</v>
      </c>
      <c r="B1" t="s">
        <v>0</v>
      </c>
      <c r="C1" t="s">
        <v>3</v>
      </c>
      <c r="D1" t="s">
        <v>31</v>
      </c>
      <c r="E1" t="s">
        <v>11</v>
      </c>
      <c r="F1" t="s">
        <v>12</v>
      </c>
      <c r="G1" t="s">
        <v>10</v>
      </c>
      <c r="H1" t="s">
        <v>1</v>
      </c>
      <c r="I1" t="s">
        <v>4</v>
      </c>
      <c r="J1" t="s">
        <v>5</v>
      </c>
    </row>
    <row r="2" spans="1:11" x14ac:dyDescent="0.2">
      <c r="A2" s="1">
        <v>360</v>
      </c>
      <c r="B2" s="2">
        <v>44927</v>
      </c>
      <c r="C2" s="1"/>
      <c r="D2" s="1"/>
      <c r="E2" s="1"/>
      <c r="F2" s="1"/>
      <c r="G2" s="1"/>
      <c r="H2" s="1">
        <v>400</v>
      </c>
      <c r="J2" s="1"/>
    </row>
    <row r="3" spans="1:11" x14ac:dyDescent="0.2">
      <c r="A3" s="1">
        <v>300</v>
      </c>
      <c r="B3" s="2">
        <v>44958</v>
      </c>
      <c r="C3" s="1"/>
      <c r="D3" s="1"/>
      <c r="E3" s="1"/>
      <c r="F3" s="1"/>
      <c r="G3" s="1"/>
      <c r="H3" s="1">
        <v>400</v>
      </c>
      <c r="J3" s="1"/>
    </row>
    <row r="4" spans="1:11" x14ac:dyDescent="0.2">
      <c r="A4" s="1">
        <v>225</v>
      </c>
      <c r="B4" s="2">
        <v>44986</v>
      </c>
      <c r="C4" s="1"/>
      <c r="D4" s="1"/>
      <c r="E4" s="1"/>
      <c r="F4" s="1"/>
      <c r="G4" s="1"/>
      <c r="H4" s="1">
        <v>400</v>
      </c>
      <c r="J4" s="1"/>
    </row>
    <row r="5" spans="1:11" x14ac:dyDescent="0.2">
      <c r="A5" s="1">
        <v>360</v>
      </c>
      <c r="B5" s="2">
        <v>45017</v>
      </c>
      <c r="C5" s="1"/>
      <c r="D5" s="1"/>
      <c r="E5" s="1"/>
      <c r="F5" s="1"/>
      <c r="G5" s="1"/>
      <c r="H5" s="1">
        <v>400</v>
      </c>
      <c r="J5" s="1"/>
    </row>
    <row r="6" spans="1:11" x14ac:dyDescent="0.2">
      <c r="A6" s="1">
        <v>1526.33</v>
      </c>
      <c r="B6" s="2">
        <v>45047</v>
      </c>
      <c r="C6" s="1">
        <v>122.65</v>
      </c>
      <c r="D6" s="1"/>
      <c r="E6" s="1"/>
      <c r="F6" s="1"/>
      <c r="G6" s="1"/>
      <c r="H6" s="1">
        <v>400</v>
      </c>
      <c r="I6" s="3">
        <f>A6-C6-H6</f>
        <v>1003.6799999999998</v>
      </c>
      <c r="J6" s="1" t="s">
        <v>6</v>
      </c>
    </row>
    <row r="7" spans="1:11" x14ac:dyDescent="0.2">
      <c r="A7" s="3">
        <f>SUM(1902.53,682.5)</f>
        <v>2585.0299999999997</v>
      </c>
      <c r="B7" s="2">
        <v>45078</v>
      </c>
      <c r="C7" s="1">
        <v>250.77</v>
      </c>
      <c r="D7" s="1"/>
      <c r="E7" s="1"/>
      <c r="F7" s="1"/>
      <c r="G7" s="1"/>
      <c r="H7" s="1">
        <v>400</v>
      </c>
      <c r="I7" s="3">
        <f>A7-C7-H7</f>
        <v>1934.2599999999998</v>
      </c>
      <c r="J7" s="1"/>
    </row>
    <row r="8" spans="1:11" x14ac:dyDescent="0.2">
      <c r="A8" s="1">
        <f>SUM(1792.49,819)</f>
        <v>2611.4899999999998</v>
      </c>
      <c r="B8" s="2">
        <v>45108</v>
      </c>
      <c r="C8" s="1">
        <v>275.99</v>
      </c>
      <c r="D8" s="1"/>
      <c r="E8" s="1"/>
      <c r="F8" s="1"/>
      <c r="G8" s="1"/>
      <c r="H8" s="1">
        <v>450</v>
      </c>
      <c r="I8" s="3">
        <f>A8-C8-H8</f>
        <v>1885.5</v>
      </c>
      <c r="J8" s="1" t="s">
        <v>7</v>
      </c>
      <c r="K8" s="1" t="s">
        <v>8</v>
      </c>
    </row>
    <row r="9" spans="1:11" x14ac:dyDescent="0.2">
      <c r="A9" s="1">
        <f>SUM(1229.91,819)</f>
        <v>2048.91</v>
      </c>
      <c r="B9" s="2">
        <v>45139</v>
      </c>
      <c r="C9" s="1">
        <v>1181.5899999999999</v>
      </c>
      <c r="D9" s="1"/>
      <c r="E9" s="1">
        <v>500</v>
      </c>
      <c r="F9" s="1"/>
      <c r="G9" s="1">
        <v>150</v>
      </c>
      <c r="H9" s="1">
        <v>450</v>
      </c>
      <c r="I9" s="3">
        <f>A9-C9-H9</f>
        <v>417.31999999999994</v>
      </c>
      <c r="J9" s="1" t="s">
        <v>9</v>
      </c>
    </row>
    <row r="10" spans="1:11" x14ac:dyDescent="0.2">
      <c r="A10" s="1" t="s">
        <v>13</v>
      </c>
      <c r="B10" s="2"/>
      <c r="C10" s="1">
        <v>5000</v>
      </c>
      <c r="D10" s="1"/>
      <c r="E10" s="1"/>
      <c r="F10" s="1">
        <f>SUM(146.52,270,194)</f>
        <v>610.52</v>
      </c>
      <c r="G10" s="1"/>
      <c r="H10" s="1"/>
      <c r="I10" s="3">
        <v>0</v>
      </c>
      <c r="J10" s="1"/>
    </row>
    <row r="11" spans="1:11" x14ac:dyDescent="0.2">
      <c r="A11">
        <f>SUM(727.24,71.95,569.35,539.22)</f>
        <v>1907.76</v>
      </c>
      <c r="B11" s="2">
        <v>45170</v>
      </c>
      <c r="C11" s="1">
        <v>791.61</v>
      </c>
      <c r="D11" s="1"/>
      <c r="E11" s="1"/>
      <c r="F11" s="1">
        <v>339.45</v>
      </c>
      <c r="G11" s="1">
        <v>150</v>
      </c>
      <c r="H11" s="1">
        <v>470</v>
      </c>
      <c r="I11" s="3">
        <f>A11-C11-H11-G11</f>
        <v>496.15000000000009</v>
      </c>
    </row>
    <row r="12" spans="1:11" x14ac:dyDescent="0.2">
      <c r="A12">
        <f>SUM(627.89,706.14,534.07)</f>
        <v>1868.1</v>
      </c>
      <c r="B12" s="2">
        <v>45200</v>
      </c>
      <c r="C12" s="1">
        <f>SUM(475.07,103.63)</f>
        <v>578.70000000000005</v>
      </c>
      <c r="D12" s="1"/>
      <c r="E12" s="1"/>
      <c r="F12" s="1"/>
      <c r="G12" s="1">
        <v>150</v>
      </c>
      <c r="H12" s="1">
        <v>470</v>
      </c>
      <c r="I12" s="3">
        <f>A12-C12-H12-G12</f>
        <v>669.39999999999986</v>
      </c>
      <c r="J12" s="1"/>
    </row>
    <row r="13" spans="1:11" x14ac:dyDescent="0.2">
      <c r="A13">
        <f>SUM(270.69,467.44,547.69)</f>
        <v>1285.8200000000002</v>
      </c>
      <c r="B13" s="2">
        <v>45231</v>
      </c>
      <c r="C13" s="1">
        <f>SUM(73.76,350.29)</f>
        <v>424.05</v>
      </c>
      <c r="D13" s="1"/>
      <c r="E13" s="1"/>
      <c r="F13" s="1"/>
      <c r="G13" s="1">
        <v>150</v>
      </c>
      <c r="H13" s="1">
        <v>470</v>
      </c>
      <c r="I13" s="3">
        <f>A13-C13-H13-G13</f>
        <v>241.77000000000021</v>
      </c>
      <c r="J13" s="1" t="s">
        <v>15</v>
      </c>
    </row>
    <row r="14" spans="1:11" x14ac:dyDescent="0.2">
      <c r="A14">
        <v>586.44000000000005</v>
      </c>
      <c r="B14" s="2">
        <v>45261</v>
      </c>
      <c r="C14" s="3">
        <f>SUM(497.42,320.62)</f>
        <v>818.04</v>
      </c>
      <c r="D14" s="3"/>
      <c r="G14" s="1">
        <v>150</v>
      </c>
      <c r="H14" s="1">
        <v>470</v>
      </c>
      <c r="I14" s="3">
        <f>A14-C14-H14-G14</f>
        <v>-851.59999999999991</v>
      </c>
      <c r="J14" s="1" t="s">
        <v>14</v>
      </c>
    </row>
    <row r="15" spans="1:11" x14ac:dyDescent="0.2">
      <c r="A15">
        <f>SUM(351.65,801.27,176.57)</f>
        <v>1329.49</v>
      </c>
      <c r="B15" s="2">
        <v>45292</v>
      </c>
      <c r="C15" s="3">
        <v>381.77</v>
      </c>
      <c r="D15" s="3"/>
      <c r="F15" s="1">
        <v>140</v>
      </c>
      <c r="G15" s="1">
        <v>150</v>
      </c>
      <c r="H15" s="1">
        <v>470</v>
      </c>
      <c r="I15" s="3">
        <f>A15-C15-H15-G15-F15</f>
        <v>187.72000000000003</v>
      </c>
      <c r="J15" s="1" t="s">
        <v>20</v>
      </c>
    </row>
    <row r="16" spans="1:11" x14ac:dyDescent="0.2">
      <c r="A16" s="1">
        <v>258</v>
      </c>
      <c r="B16" s="2">
        <v>45323</v>
      </c>
      <c r="G16" s="3">
        <v>52.6</v>
      </c>
      <c r="H16" s="1">
        <v>600</v>
      </c>
      <c r="I16" s="3" t="s">
        <v>18</v>
      </c>
      <c r="J16" s="1" t="s">
        <v>19</v>
      </c>
    </row>
    <row r="17" spans="1:10" x14ac:dyDescent="0.2">
      <c r="H17" s="1">
        <v>600</v>
      </c>
      <c r="I17" s="3" t="e">
        <f>A17-C17-#REF!-H17-G17</f>
        <v>#REF!</v>
      </c>
      <c r="J17" s="1"/>
    </row>
    <row r="18" spans="1:10" x14ac:dyDescent="0.2">
      <c r="H18" s="1">
        <v>600</v>
      </c>
      <c r="I18" s="3" t="e">
        <f>A18-C18-#REF!-H18-G18</f>
        <v>#REF!</v>
      </c>
      <c r="J18" s="1"/>
    </row>
    <row r="19" spans="1:10" x14ac:dyDescent="0.2">
      <c r="H19" s="1">
        <v>600</v>
      </c>
      <c r="I19" s="3" t="e">
        <f>A19-C19-#REF!-H19-G19</f>
        <v>#REF!</v>
      </c>
    </row>
    <row r="20" spans="1:10" x14ac:dyDescent="0.2">
      <c r="A20" s="1">
        <v>955</v>
      </c>
      <c r="B20" s="2">
        <v>45444</v>
      </c>
      <c r="C20" s="3">
        <v>97.2</v>
      </c>
      <c r="D20" s="1">
        <v>217</v>
      </c>
      <c r="E20" s="1">
        <v>50</v>
      </c>
      <c r="F20" s="1">
        <v>221</v>
      </c>
      <c r="G20" s="1">
        <v>52</v>
      </c>
      <c r="H20" s="1">
        <v>642</v>
      </c>
      <c r="I20" s="3">
        <v>-324.2</v>
      </c>
    </row>
    <row r="21" spans="1:10" x14ac:dyDescent="0.2">
      <c r="B21" s="2">
        <v>45474</v>
      </c>
      <c r="C21" s="3">
        <v>1627.83</v>
      </c>
      <c r="D21" s="3">
        <v>87.5</v>
      </c>
      <c r="G21" s="1">
        <v>52</v>
      </c>
      <c r="H21" s="1">
        <v>700</v>
      </c>
      <c r="J21" t="s">
        <v>33</v>
      </c>
    </row>
    <row r="22" spans="1:10" x14ac:dyDescent="0.2">
      <c r="A22" s="1">
        <v>6526</v>
      </c>
      <c r="B22" s="2">
        <v>45505</v>
      </c>
      <c r="C22" s="1">
        <v>1440</v>
      </c>
      <c r="D22">
        <v>163.46</v>
      </c>
      <c r="E22" s="1">
        <v>660</v>
      </c>
      <c r="F22" s="1">
        <v>523</v>
      </c>
      <c r="G22" s="1">
        <v>52</v>
      </c>
      <c r="H22" s="1">
        <v>600</v>
      </c>
      <c r="J2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4F3D-4E70-AB42-8653-5090717E9A0E}">
  <dimension ref="A1:F5"/>
  <sheetViews>
    <sheetView zoomScale="138" workbookViewId="0">
      <selection activeCell="E2" sqref="E2"/>
    </sheetView>
  </sheetViews>
  <sheetFormatPr baseColWidth="10" defaultRowHeight="16" x14ac:dyDescent="0.2"/>
  <sheetData>
    <row r="1" spans="1:6" x14ac:dyDescent="0.2">
      <c r="A1" t="s">
        <v>21</v>
      </c>
      <c r="B1" t="s">
        <v>25</v>
      </c>
      <c r="C1" t="s">
        <v>27</v>
      </c>
      <c r="D1" t="s">
        <v>28</v>
      </c>
      <c r="F1" t="s">
        <v>29</v>
      </c>
    </row>
    <row r="2" spans="1:6" x14ac:dyDescent="0.2">
      <c r="A2" t="s">
        <v>22</v>
      </c>
      <c r="B2" s="1">
        <v>5000</v>
      </c>
      <c r="C2">
        <f>SUM(990.49,600,86.51,492.72)</f>
        <v>2169.7200000000003</v>
      </c>
      <c r="D2" s="1">
        <f>B2-C2</f>
        <v>2830.2799999999997</v>
      </c>
    </row>
    <row r="3" spans="1:6" x14ac:dyDescent="0.2">
      <c r="A3" t="s">
        <v>24</v>
      </c>
      <c r="B3" s="1">
        <v>3173</v>
      </c>
      <c r="D3" s="1">
        <f t="shared" ref="D3:D5" si="0">B3-C3</f>
        <v>3173</v>
      </c>
    </row>
    <row r="4" spans="1:6" x14ac:dyDescent="0.2">
      <c r="A4" t="s">
        <v>23</v>
      </c>
      <c r="B4" s="1">
        <v>824</v>
      </c>
      <c r="D4" s="1">
        <f t="shared" si="0"/>
        <v>824</v>
      </c>
    </row>
    <row r="5" spans="1:6" x14ac:dyDescent="0.2">
      <c r="A5" t="s">
        <v>26</v>
      </c>
      <c r="B5" s="1">
        <v>644</v>
      </c>
      <c r="C5" s="1">
        <v>644</v>
      </c>
      <c r="D5" s="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5FE4-98CE-9B49-BDE5-859558FE6890}">
  <dimension ref="A1:B5"/>
  <sheetViews>
    <sheetView zoomScale="184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16</v>
      </c>
      <c r="B1" t="s">
        <v>17</v>
      </c>
    </row>
    <row r="2" spans="1:2" x14ac:dyDescent="0.2">
      <c r="A2" s="2">
        <v>45306</v>
      </c>
      <c r="B2" s="3">
        <v>1329.49</v>
      </c>
    </row>
    <row r="3" spans="1:2" x14ac:dyDescent="0.2">
      <c r="A3" s="2">
        <v>45321</v>
      </c>
      <c r="B3">
        <v>1329.49</v>
      </c>
    </row>
    <row r="4" spans="1:2" x14ac:dyDescent="0.2">
      <c r="A4" t="s">
        <v>30</v>
      </c>
    </row>
    <row r="5" spans="1:2" x14ac:dyDescent="0.2">
      <c r="A5" s="2">
        <v>45381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Scholarship</vt:lpstr>
      <vt:lpstr>income track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2022-09-05T18:06:55Z</dcterms:created>
  <dcterms:modified xsi:type="dcterms:W3CDTF">2024-08-14T02:25:07Z</dcterms:modified>
</cp:coreProperties>
</file>